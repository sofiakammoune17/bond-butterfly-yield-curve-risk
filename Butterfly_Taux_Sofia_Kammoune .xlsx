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ESLSCA\Bureau\"/>
    </mc:Choice>
  </mc:AlternateContent>
  <bookViews>
    <workbookView xWindow="0" yWindow="0" windowWidth="20490" windowHeight="7620"/>
  </bookViews>
  <sheets>
    <sheet name="Butterfly 2 5 10" sheetId="1" r:id="rId1"/>
  </sheets>
  <calcPr calcId="162913"/>
</workbook>
</file>

<file path=xl/calcChain.xml><?xml version="1.0" encoding="utf-8"?>
<calcChain xmlns="http://schemas.openxmlformats.org/spreadsheetml/2006/main">
  <c r="D52" i="1" l="1"/>
  <c r="D51" i="1"/>
  <c r="D50" i="1"/>
  <c r="B36" i="1"/>
  <c r="F35" i="1"/>
  <c r="B35" i="1"/>
  <c r="B34" i="1"/>
  <c r="B33" i="1"/>
  <c r="F32" i="1"/>
  <c r="B32" i="1"/>
  <c r="B31" i="1"/>
  <c r="B30" i="1"/>
  <c r="F29" i="1"/>
  <c r="B29" i="1"/>
  <c r="B28" i="1"/>
  <c r="B27" i="1"/>
  <c r="F26" i="1"/>
  <c r="B26" i="1"/>
  <c r="B25" i="1"/>
  <c r="B24" i="1"/>
  <c r="F23" i="1"/>
  <c r="B23" i="1"/>
  <c r="B22" i="1"/>
  <c r="D7" i="1"/>
  <c r="D6" i="1"/>
  <c r="C35" i="1" s="1"/>
  <c r="D35" i="1" s="1"/>
  <c r="E5" i="1"/>
  <c r="D5" i="1"/>
  <c r="C31" i="1" s="1"/>
  <c r="D31" i="1" s="1"/>
  <c r="E6" i="1" l="1"/>
  <c r="C22" i="1"/>
  <c r="D22" i="1" s="1"/>
  <c r="C24" i="1"/>
  <c r="D24" i="1" s="1"/>
  <c r="E25" i="1"/>
  <c r="C26" i="1"/>
  <c r="D26" i="1" s="1"/>
  <c r="C28" i="1"/>
  <c r="D28" i="1" s="1"/>
  <c r="C30" i="1"/>
  <c r="D30" i="1" s="1"/>
  <c r="E31" i="1"/>
  <c r="C32" i="1"/>
  <c r="D32" i="1" s="1"/>
  <c r="C34" i="1"/>
  <c r="D34" i="1" s="1"/>
  <c r="C36" i="1"/>
  <c r="D36" i="1" s="1"/>
  <c r="F5" i="1"/>
  <c r="G5" i="1" s="1"/>
  <c r="E7" i="1"/>
  <c r="E22" i="1"/>
  <c r="C23" i="1"/>
  <c r="D23" i="1" s="1"/>
  <c r="C25" i="1"/>
  <c r="D25" i="1" s="1"/>
  <c r="C27" i="1"/>
  <c r="D27" i="1" s="1"/>
  <c r="E28" i="1"/>
  <c r="C29" i="1"/>
  <c r="D29" i="1" s="1"/>
  <c r="C33" i="1"/>
  <c r="D33" i="1" s="1"/>
  <c r="E34" i="1"/>
  <c r="E36" i="1" l="1"/>
  <c r="E30" i="1"/>
  <c r="E24" i="1"/>
  <c r="E33" i="1"/>
  <c r="E27" i="1"/>
  <c r="H32" i="1"/>
  <c r="F6" i="1"/>
  <c r="G6" i="1" s="1"/>
  <c r="J6" i="1" s="1"/>
  <c r="E32" i="1"/>
  <c r="E26" i="1"/>
  <c r="H26" i="1" s="1"/>
  <c r="E35" i="1"/>
  <c r="H35" i="1" s="1"/>
  <c r="E29" i="1"/>
  <c r="E23" i="1"/>
  <c r="H23" i="1" s="1"/>
  <c r="I6" i="1"/>
  <c r="H29" i="1"/>
  <c r="F7" i="1"/>
  <c r="G7" i="1" s="1"/>
  <c r="H5" i="1" l="1"/>
  <c r="F34" i="1" l="1"/>
  <c r="H34" i="1" s="1"/>
  <c r="F28" i="1"/>
  <c r="H28" i="1" s="1"/>
  <c r="F22" i="1"/>
  <c r="H22" i="1" s="1"/>
  <c r="F31" i="1"/>
  <c r="H31" i="1" s="1"/>
  <c r="F25" i="1"/>
  <c r="H25" i="1" s="1"/>
  <c r="I5" i="1"/>
  <c r="H7" i="1"/>
  <c r="J5" i="1"/>
  <c r="E16" i="1" l="1"/>
  <c r="F36" i="1"/>
  <c r="H36" i="1" s="1"/>
  <c r="F30" i="1"/>
  <c r="H30" i="1" s="1"/>
  <c r="F24" i="1"/>
  <c r="H24" i="1" s="1"/>
  <c r="E14" i="1" s="1"/>
  <c r="F33" i="1"/>
  <c r="H33" i="1" s="1"/>
  <c r="E17" i="1" s="1"/>
  <c r="F27" i="1"/>
  <c r="H27" i="1" s="1"/>
  <c r="E15" i="1" s="1"/>
  <c r="I7" i="1"/>
  <c r="I9" i="1" s="1"/>
  <c r="J7" i="1"/>
  <c r="J10" i="1" s="1"/>
  <c r="E18" i="1"/>
</calcChain>
</file>

<file path=xl/sharedStrings.xml><?xml version="1.0" encoding="utf-8"?>
<sst xmlns="http://schemas.openxmlformats.org/spreadsheetml/2006/main" count="71" uniqueCount="52">
  <si>
    <t>BUTTERFLY OBLIGATAIRE 2 / 5 / 10 ANS</t>
  </si>
  <si>
    <t>Taux TEC France au 24/09/2026 • coupons hypothétiques • prix pour 100 de nominal</t>
  </si>
  <si>
    <t>Obligation</t>
  </si>
  <si>
    <t>Maturité</t>
  </si>
  <si>
    <t>Coupon</t>
  </si>
  <si>
    <t>Rendement</t>
  </si>
  <si>
    <t>Prix</t>
  </si>
  <si>
    <t>Duration mod.</t>
  </si>
  <si>
    <t>PVBP/unité</t>
  </si>
  <si>
    <t>Quantité</t>
  </si>
  <si>
    <t>Valeur</t>
  </si>
  <si>
    <t>PVBP total</t>
  </si>
  <si>
    <t>2 ans</t>
  </si>
  <si>
    <t>5 ans</t>
  </si>
  <si>
    <t>10 ans</t>
  </si>
  <si>
    <t>Contrôles de neutralité</t>
  </si>
  <si>
    <t>Valeur nette</t>
  </si>
  <si>
    <t>PVBP net</t>
  </si>
  <si>
    <t>Scénario</t>
  </si>
  <si>
    <t>Choc 2a pb</t>
  </si>
  <si>
    <t>Choc 5a pb</t>
  </si>
  <si>
    <t>Choc 10a pb</t>
  </si>
  <si>
    <t>PnL exact</t>
  </si>
  <si>
    <t>Lecture</t>
  </si>
  <si>
    <t>Parallèle +50 pb</t>
  </si>
  <si>
    <t>Résidu de convexité</t>
  </si>
  <si>
    <t>Parallèle -50 pb</t>
  </si>
  <si>
    <t>Pentification</t>
  </si>
  <si>
    <t>Variation de pente</t>
  </si>
  <si>
    <t>Courbure</t>
  </si>
  <si>
    <t>Variation du ventre</t>
  </si>
  <si>
    <t>Amplitude observée</t>
  </si>
  <si>
    <t>Choc 23→24 sept. rejoué</t>
  </si>
  <si>
    <t>Détail des valorisations par scénario</t>
  </si>
  <si>
    <t>Titre</t>
  </si>
  <si>
    <t>Taux stressé</t>
  </si>
  <si>
    <t>Prix stressé</t>
  </si>
  <si>
    <t>Prix initial</t>
  </si>
  <si>
    <t>PnL</t>
  </si>
  <si>
    <t>Lecture : la neutralité au choc parallèle infinitésimal laisse une exposition à la pente et à la courbure.</t>
  </si>
  <si>
    <t>Décision conditionnelle : surveiller le risque 5 ans et vérifier spread, liquidité et coûts avant tout arbitrage.</t>
  </si>
  <si>
    <t>Le scénario observé rejoue les variations 23→24 sept. sur la courbe du 24 ; il ne représente pas un PnL réalisé.</t>
  </si>
  <si>
    <t>Méthode : coupons annuels hypothétiques, prix actualisés et duration analytique.</t>
  </si>
  <si>
    <t>Limites : TEC à échéance constante ≠ rendements de trois titres négociables ; pas de spread ni de frais.</t>
  </si>
  <si>
    <t>Source taux 24/09/2026 : Banque de France, indices CNO-TEC 2/5/10 ans.</t>
  </si>
  <si>
    <t>Taux 23/09 : 3,496 % / 3,876 % / 4,477 % ; variations +9,8 / +17,3 / +19,2 pb.</t>
  </si>
  <si>
    <t>https://www.banque-france.fr/fr/statistiques/taux-et-cours/indices-obligataires-2026-09-24</t>
  </si>
  <si>
    <t>TAUX CNO-TEC PUBLIES PAR LA BANQUE DE FRANCE</t>
  </si>
  <si>
    <t>23/09/2026 (%)</t>
  </si>
  <si>
    <t>24/09/2026 (%)</t>
  </si>
  <si>
    <t>Variation (pb)</t>
  </si>
  <si>
    <t>Les lignes 5 à 7 reprennent les taux publiés du 24/09 via les cellules C50:C52.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</si>
</sst>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0;[Red]\(#,##0.0000\)"/>
    <numFmt numFmtId="165" formatCode="#,##0.00;[Red]\(#,##0.00\)"/>
    <numFmt numFmtId="166" formatCode="0.000"/>
    <numFmt numFmtId="167" formatCode="\+0.0;[Red]\-0.0"/>
  </numFmts>
  <fonts count="6">
    <font>
      <sz val="11"/>
      <name val="Carlito"/>
    </font>
    <font>
      <sz val="10"/>
      <name val="Aptos"/>
    </font>
    <font>
      <b/>
      <sz val="16"/>
      <color rgb="FFFFFFFF"/>
      <name val="Aptos Display"/>
    </font>
    <font>
      <b/>
      <sz val="10"/>
      <color rgb="FF172B4D"/>
      <name val="Aptos"/>
    </font>
    <font>
      <b/>
      <sz val="10"/>
      <color rgb="FFFFFFFF"/>
      <name val="Aptos"/>
    </font>
    <font>
      <sz val="9"/>
      <color rgb="FF52657C"/>
      <name val="Aptos"/>
    </font>
  </fonts>
  <fills count="4">
    <fill>
      <patternFill patternType="none"/>
    </fill>
    <fill>
      <patternFill patternType="gray125"/>
    </fill>
    <fill>
      <patternFill patternType="solid">
        <fgColor rgb="FF172B4D"/>
      </patternFill>
    </fill>
    <fill>
      <patternFill patternType="solid">
        <fgColor rgb="FFDD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2" fillId="2" borderId="0" xfId="0" applyNumberFormat="1" applyFont="1" applyFill="1" applyBorder="1"/>
    <xf numFmtId="0" fontId="3" fillId="3" borderId="0" xfId="0" applyNumberFormat="1" applyFont="1" applyFill="1" applyBorder="1"/>
    <xf numFmtId="0" fontId="4" fillId="2" borderId="0" xfId="0" applyNumberFormat="1" applyFont="1" applyFill="1" applyBorder="1"/>
    <xf numFmtId="10" fontId="1" fillId="0" borderId="0" xfId="0" applyNumberFormat="1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166" fontId="0" fillId="0" borderId="0" xfId="0" applyNumberFormat="1" applyFont="1" applyFill="1" applyBorder="1"/>
    <xf numFmtId="167" fontId="0" fillId="0" borderId="0" xfId="0" applyNumberFormat="1" applyFont="1" applyFill="1" applyBorder="1"/>
    <xf numFmtId="0" fontId="5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31" workbookViewId="0"/>
  </sheetViews>
  <sheetFormatPr baseColWidth="10" defaultColWidth="9" defaultRowHeight="14.25"/>
  <cols>
    <col min="1" max="1" width="31" customWidth="1"/>
    <col min="2" max="4" width="16" customWidth="1"/>
    <col min="5" max="5" width="18" customWidth="1"/>
    <col min="6" max="6" width="26" customWidth="1"/>
    <col min="7" max="10" width="18" customWidth="1"/>
  </cols>
  <sheetData>
    <row r="1" spans="1:10" ht="32.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1" t="s">
        <v>12</v>
      </c>
      <c r="B5" s="1">
        <v>2</v>
      </c>
      <c r="C5" s="5">
        <v>3.5000000000000003E-2</v>
      </c>
      <c r="D5" s="5">
        <f>C50/100</f>
        <v>3.594E-2</v>
      </c>
      <c r="E5" s="6">
        <f>(100*C5*(1-(1+D5)^(-B5))/(D5)+100*(1+D5)^(-B5))</f>
        <v>99.821670322722255</v>
      </c>
      <c r="F5" s="6">
        <f>-(100*C5*(B5*D5*(1+D5)^(-B5-1)-(1-(1+D5)^(-B5)))/D5^2-100*B5*(1+D5)^(-B5-1))/E5</f>
        <v>1.8979418710307066</v>
      </c>
      <c r="G5" s="6">
        <f>E5*F5*0.0001</f>
        <v>1.8945572774171783E-2</v>
      </c>
      <c r="H5" s="6">
        <f>(-H6*E6*G7+E7*H6*G6)/(E5*G7-E7*G5)</f>
        <v>573.77613309287074</v>
      </c>
      <c r="I5" s="6">
        <f>E5*H5</f>
        <v>57275.291996642947</v>
      </c>
      <c r="J5" s="6">
        <f>G5*H5</f>
        <v>10.870517485593858</v>
      </c>
    </row>
    <row r="6" spans="1:10">
      <c r="A6" s="1" t="s">
        <v>13</v>
      </c>
      <c r="B6" s="1">
        <v>5</v>
      </c>
      <c r="C6" s="5">
        <v>0.04</v>
      </c>
      <c r="D6" s="5">
        <f>C51/100</f>
        <v>4.0490000000000005E-2</v>
      </c>
      <c r="E6" s="6">
        <f>(100*C6*(1-(1+D6)^(-B6))/(D6)+100*(1+D6)^(-B6))</f>
        <v>99.782160655234861</v>
      </c>
      <c r="F6" s="6">
        <f>-(100*C6*(B6*D6*(1+D6)^(-B6-1)-(1-(1+D6)^(-B6)))/D6^2-100*B6*(1+D6)^(-B6-1))/E6</f>
        <v>4.4492784102766967</v>
      </c>
      <c r="G6" s="6">
        <f>E6*F6*0.0001</f>
        <v>4.4395861313409737E-2</v>
      </c>
      <c r="H6" s="6">
        <v>-1000</v>
      </c>
      <c r="I6" s="6">
        <f>E6*H6</f>
        <v>-99782.160655234868</v>
      </c>
      <c r="J6" s="6">
        <f>G6*H6</f>
        <v>-44.395861313409739</v>
      </c>
    </row>
    <row r="7" spans="1:10">
      <c r="A7" s="1" t="s">
        <v>14</v>
      </c>
      <c r="B7" s="1">
        <v>10</v>
      </c>
      <c r="C7" s="5">
        <v>4.4999999999999998E-2</v>
      </c>
      <c r="D7" s="5">
        <f>C52/100</f>
        <v>4.6689999999999995E-2</v>
      </c>
      <c r="E7" s="6">
        <f>(100*C7*(1-(1+D7)^(-B7))/(D7)+100*(1+D7)^(-B7))</f>
        <v>98.673793240139986</v>
      </c>
      <c r="F7" s="6">
        <f>-(100*C7*(B7*D7*(1+D7)^(-B7-1)-(1-(1+D7)^(-B7)))/D7^2-100*B7*(1+D7)^(-B7-1))/E7</f>
        <v>7.8870415266496936</v>
      </c>
      <c r="G7" s="6">
        <f>E7*F7*0.0001</f>
        <v>7.7824430487702989E-2</v>
      </c>
      <c r="H7" s="6">
        <f>(-E5*H5-E6*H6)/E7</f>
        <v>430.78174318427182</v>
      </c>
      <c r="I7" s="6">
        <f>E7*H7</f>
        <v>42506.86865859192</v>
      </c>
      <c r="J7" s="6">
        <f>G7*H7</f>
        <v>33.525343827815881</v>
      </c>
    </row>
    <row r="8" spans="1:10">
      <c r="A8" s="1"/>
      <c r="B8" s="1"/>
      <c r="C8" s="1"/>
      <c r="D8" s="1"/>
      <c r="E8" s="6"/>
      <c r="F8" s="6"/>
      <c r="G8" s="6"/>
      <c r="H8" s="6"/>
      <c r="I8" s="6"/>
      <c r="J8" s="6"/>
    </row>
    <row r="9" spans="1:10">
      <c r="A9" s="1" t="s">
        <v>15</v>
      </c>
      <c r="B9" s="1"/>
      <c r="C9" s="1"/>
      <c r="D9" s="1"/>
      <c r="E9" s="6"/>
      <c r="F9" s="6"/>
      <c r="G9" s="6"/>
      <c r="H9" s="6" t="s">
        <v>16</v>
      </c>
      <c r="I9" s="6">
        <f>SUM(I5:I7)</f>
        <v>0</v>
      </c>
      <c r="J9" s="6"/>
    </row>
    <row r="10" spans="1:10">
      <c r="A10" s="1"/>
      <c r="B10" s="1"/>
      <c r="C10" s="1"/>
      <c r="D10" s="1"/>
      <c r="E10" s="6"/>
      <c r="F10" s="6"/>
      <c r="G10" s="6"/>
      <c r="H10" s="6" t="s">
        <v>17</v>
      </c>
      <c r="I10" s="6"/>
      <c r="J10" s="6">
        <f>SUM(J5:J7)</f>
        <v>0</v>
      </c>
    </row>
    <row r="11" spans="1:10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>
      <c r="A13" s="3" t="s">
        <v>18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23</v>
      </c>
      <c r="G13" s="1"/>
      <c r="H13" s="1"/>
      <c r="I13" s="1"/>
      <c r="J13" s="1"/>
    </row>
    <row r="14" spans="1:10">
      <c r="A14" s="1" t="s">
        <v>24</v>
      </c>
      <c r="B14" s="1">
        <v>50</v>
      </c>
      <c r="C14" s="1">
        <v>50</v>
      </c>
      <c r="D14" s="1">
        <v>50</v>
      </c>
      <c r="E14" s="7">
        <f>SUM(H22:H24)</f>
        <v>13.439077441058316</v>
      </c>
      <c r="F14" s="1" t="s">
        <v>25</v>
      </c>
      <c r="G14" s="1"/>
      <c r="H14" s="1"/>
      <c r="I14" s="1"/>
      <c r="J14" s="1"/>
    </row>
    <row r="15" spans="1:10">
      <c r="A15" s="1" t="s">
        <v>26</v>
      </c>
      <c r="B15" s="1">
        <v>-50</v>
      </c>
      <c r="C15" s="1">
        <v>-50</v>
      </c>
      <c r="D15" s="1">
        <v>-50</v>
      </c>
      <c r="E15" s="7">
        <f>SUM(H25:H27)</f>
        <v>14.317687226113549</v>
      </c>
      <c r="F15" s="1" t="s">
        <v>25</v>
      </c>
      <c r="G15" s="1"/>
      <c r="H15" s="1"/>
      <c r="I15" s="1"/>
      <c r="J15" s="1"/>
    </row>
    <row r="16" spans="1:10">
      <c r="A16" s="1" t="s">
        <v>27</v>
      </c>
      <c r="B16" s="1">
        <v>-25</v>
      </c>
      <c r="C16" s="1">
        <v>0</v>
      </c>
      <c r="D16" s="1">
        <v>25</v>
      </c>
      <c r="E16" s="7">
        <f>SUM(H28:H30)</f>
        <v>-555.20314660763256</v>
      </c>
      <c r="F16" s="1" t="s">
        <v>28</v>
      </c>
      <c r="G16" s="1"/>
      <c r="H16" s="1"/>
      <c r="I16" s="1"/>
      <c r="J16" s="1"/>
    </row>
    <row r="17" spans="1:10">
      <c r="A17" s="1" t="s">
        <v>29</v>
      </c>
      <c r="B17" s="1">
        <v>25</v>
      </c>
      <c r="C17" s="1">
        <v>-50</v>
      </c>
      <c r="D17" s="1">
        <v>25</v>
      </c>
      <c r="E17" s="7">
        <f>SUM(H31:H33)</f>
        <v>-3350.0405204979843</v>
      </c>
      <c r="F17" s="1" t="s">
        <v>30</v>
      </c>
      <c r="G17" s="1"/>
      <c r="H17" s="1"/>
      <c r="I17" s="1"/>
      <c r="J17" s="1"/>
    </row>
    <row r="18" spans="1:10">
      <c r="A18" s="1" t="s">
        <v>31</v>
      </c>
      <c r="B18" s="1">
        <v>9.8000000000000007</v>
      </c>
      <c r="C18" s="1">
        <v>17.3</v>
      </c>
      <c r="D18" s="1">
        <v>19.2</v>
      </c>
      <c r="E18" s="7">
        <f>SUM(H34:H36)</f>
        <v>20.285144047940207</v>
      </c>
      <c r="F18" s="1" t="s">
        <v>32</v>
      </c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33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3" t="s">
        <v>18</v>
      </c>
      <c r="B21" s="3" t="s">
        <v>34</v>
      </c>
      <c r="C21" s="3" t="s">
        <v>35</v>
      </c>
      <c r="D21" s="3" t="s">
        <v>36</v>
      </c>
      <c r="E21" s="3" t="s">
        <v>37</v>
      </c>
      <c r="F21" s="3" t="s">
        <v>9</v>
      </c>
      <c r="G21" s="3"/>
      <c r="H21" s="3" t="s">
        <v>38</v>
      </c>
      <c r="I21" s="1"/>
      <c r="J21" s="1"/>
    </row>
    <row r="22" spans="1:10">
      <c r="A22" s="1" t="s">
        <v>24</v>
      </c>
      <c r="B22" s="1" t="str">
        <f>A5</f>
        <v>2 ans</v>
      </c>
      <c r="C22" s="5">
        <f>D5+B14/10000</f>
        <v>4.0939999999999997E-2</v>
      </c>
      <c r="D22" s="1">
        <f>(100*C5*(1-(1+C22)^(-B5))/(C22)+100*(1+C22)^(-B5))</f>
        <v>98.881166948025253</v>
      </c>
      <c r="E22" s="1">
        <f>E5</f>
        <v>99.821670322722255</v>
      </c>
      <c r="F22" s="1">
        <f>H5</f>
        <v>573.77613309287074</v>
      </c>
      <c r="G22" s="1"/>
      <c r="H22" s="1">
        <f t="shared" ref="H22:H36" si="0">(D22-E22)*F22</f>
        <v>-539.63838949444107</v>
      </c>
      <c r="I22" s="1"/>
      <c r="J22" s="1"/>
    </row>
    <row r="23" spans="1:10">
      <c r="A23" s="1" t="s">
        <v>24</v>
      </c>
      <c r="B23" s="1" t="str">
        <f>A6</f>
        <v>5 ans</v>
      </c>
      <c r="C23" s="5">
        <f>D6+C14/10000</f>
        <v>4.5490000000000003E-2</v>
      </c>
      <c r="D23" s="1">
        <f>(100*C6*(1-(1+C23)^(-B6))/(C23)+100*(1+C23)^(-B6))</f>
        <v>97.593190101078278</v>
      </c>
      <c r="E23" s="1">
        <f>E6</f>
        <v>99.782160655234861</v>
      </c>
      <c r="F23" s="1">
        <f>H6</f>
        <v>-1000</v>
      </c>
      <c r="G23" s="1"/>
      <c r="H23" s="1">
        <f t="shared" si="0"/>
        <v>2188.9705541565831</v>
      </c>
      <c r="I23" s="1"/>
      <c r="J23" s="1"/>
    </row>
    <row r="24" spans="1:10">
      <c r="A24" s="1" t="s">
        <v>24</v>
      </c>
      <c r="B24" s="1" t="str">
        <f>A7</f>
        <v>10 ans</v>
      </c>
      <c r="C24" s="5">
        <f>D7+D14/10000</f>
        <v>5.1689999999999993E-2</v>
      </c>
      <c r="D24" s="1">
        <f>(100*C7*(1-(1+C24)^(-B7))/(C24)+100*(1+C24)^(-B7))</f>
        <v>94.876294592382038</v>
      </c>
      <c r="E24" s="1">
        <f>E7</f>
        <v>98.673793240139986</v>
      </c>
      <c r="F24" s="1">
        <f>H7</f>
        <v>430.78174318427182</v>
      </c>
      <c r="G24" s="1"/>
      <c r="H24" s="1">
        <f t="shared" si="0"/>
        <v>-1635.8930872210838</v>
      </c>
      <c r="I24" s="1"/>
      <c r="J24" s="1"/>
    </row>
    <row r="25" spans="1:10">
      <c r="A25" s="1" t="s">
        <v>26</v>
      </c>
      <c r="B25" s="1" t="str">
        <f>A5</f>
        <v>2 ans</v>
      </c>
      <c r="C25" s="5">
        <f>D5+B15/10000</f>
        <v>3.0939999999999999E-2</v>
      </c>
      <c r="D25" s="1">
        <f>(100*C5*(1-(1+C25)^(-B5))/(C25)+100*(1+C25)^(-B5))</f>
        <v>100.77581173781095</v>
      </c>
      <c r="E25" s="1">
        <f>E5</f>
        <v>99.821670322722255</v>
      </c>
      <c r="F25" s="1">
        <f>H5</f>
        <v>573.77613309287074</v>
      </c>
      <c r="G25" s="1"/>
      <c r="H25" s="1">
        <f t="shared" si="0"/>
        <v>547.46357157335353</v>
      </c>
      <c r="I25" s="1"/>
      <c r="J25" s="1"/>
    </row>
    <row r="26" spans="1:10">
      <c r="A26" s="1" t="s">
        <v>26</v>
      </c>
      <c r="B26" s="1" t="str">
        <f>A6</f>
        <v>5 ans</v>
      </c>
      <c r="C26" s="5">
        <f>D6+C15/10000</f>
        <v>3.5490000000000008E-2</v>
      </c>
      <c r="D26" s="1">
        <f>(100*C6*(1-(1+C26)^(-B6))/(C26)+100*(1+C26)^(-B6))</f>
        <v>102.03346587844598</v>
      </c>
      <c r="E26" s="1">
        <f>E6</f>
        <v>99.782160655234861</v>
      </c>
      <c r="F26" s="1">
        <f>H6</f>
        <v>-1000</v>
      </c>
      <c r="G26" s="1"/>
      <c r="H26" s="1">
        <f t="shared" si="0"/>
        <v>-2251.3052232111195</v>
      </c>
      <c r="I26" s="1"/>
      <c r="J26" s="1"/>
    </row>
    <row r="27" spans="1:10">
      <c r="A27" s="1" t="s">
        <v>26</v>
      </c>
      <c r="B27" s="1" t="str">
        <f>A7</f>
        <v>10 ans</v>
      </c>
      <c r="C27" s="5">
        <f>D7+D15/10000</f>
        <v>4.1689999999999998E-2</v>
      </c>
      <c r="D27" s="1">
        <f>(100*C7*(1-(1+C27)^(-B7))/(C27)+100*(1+C27)^(-B7))</f>
        <v>102.66226156789109</v>
      </c>
      <c r="E27" s="1">
        <f>E7</f>
        <v>98.673793240139986</v>
      </c>
      <c r="F27" s="1">
        <f>H7</f>
        <v>430.78174318427182</v>
      </c>
      <c r="G27" s="1"/>
      <c r="H27" s="1">
        <f t="shared" si="0"/>
        <v>1718.1593388638796</v>
      </c>
      <c r="I27" s="1"/>
      <c r="J27" s="1"/>
    </row>
    <row r="28" spans="1:10">
      <c r="A28" s="1" t="s">
        <v>27</v>
      </c>
      <c r="B28" s="1" t="str">
        <f>A5</f>
        <v>2 ans</v>
      </c>
      <c r="C28" s="5">
        <f>D5+B16/10000</f>
        <v>3.3439999999999998E-2</v>
      </c>
      <c r="D28" s="1">
        <f>(100*C5*(1-(1+C28)^(-B5))/(C28)+100*(1+C28)^(-B5))</f>
        <v>100.29701981709346</v>
      </c>
      <c r="E28" s="1">
        <f>E5</f>
        <v>99.821670322722255</v>
      </c>
      <c r="F28" s="1">
        <f>H5</f>
        <v>573.77613309287074</v>
      </c>
      <c r="G28" s="1"/>
      <c r="H28" s="1">
        <f t="shared" si="0"/>
        <v>272.74419474795923</v>
      </c>
      <c r="I28" s="1"/>
      <c r="J28" s="1"/>
    </row>
    <row r="29" spans="1:10">
      <c r="A29" s="1" t="s">
        <v>27</v>
      </c>
      <c r="B29" s="1" t="str">
        <f>A6</f>
        <v>5 ans</v>
      </c>
      <c r="C29" s="5">
        <f>D6+C16/10000</f>
        <v>4.0490000000000005E-2</v>
      </c>
      <c r="D29" s="1">
        <f>(100*C6*(1-(1+C29)^(-B6))/(C29)+100*(1+C29)^(-B6))</f>
        <v>99.782160655234861</v>
      </c>
      <c r="E29" s="1">
        <f>E6</f>
        <v>99.782160655234861</v>
      </c>
      <c r="F29" s="1">
        <f>H6</f>
        <v>-1000</v>
      </c>
      <c r="G29" s="1"/>
      <c r="H29" s="1">
        <f t="shared" si="0"/>
        <v>0</v>
      </c>
      <c r="I29" s="1"/>
      <c r="J29" s="1"/>
    </row>
    <row r="30" spans="1:10">
      <c r="A30" s="1" t="s">
        <v>27</v>
      </c>
      <c r="B30" s="1" t="str">
        <f>A7</f>
        <v>10 ans</v>
      </c>
      <c r="C30" s="5">
        <f>D7+D16/10000</f>
        <v>4.9189999999999998E-2</v>
      </c>
      <c r="D30" s="1">
        <f>(100*C7*(1-(1+C30)^(-B7))/(C30)+100*(1+C30)^(-B7))</f>
        <v>96.751828452970656</v>
      </c>
      <c r="E30" s="1">
        <f>E7</f>
        <v>98.673793240139986</v>
      </c>
      <c r="F30" s="1">
        <f>H7</f>
        <v>430.78174318427182</v>
      </c>
      <c r="G30" s="1"/>
      <c r="H30" s="1">
        <f t="shared" si="0"/>
        <v>-827.94734135559179</v>
      </c>
      <c r="I30" s="1"/>
      <c r="J30" s="1"/>
    </row>
    <row r="31" spans="1:10">
      <c r="A31" s="1" t="s">
        <v>29</v>
      </c>
      <c r="B31" s="1" t="str">
        <f>A5</f>
        <v>2 ans</v>
      </c>
      <c r="C31" s="5">
        <f>D5+B17/10000</f>
        <v>3.8440000000000002E-2</v>
      </c>
      <c r="D31" s="1">
        <f>(100*C5*(1-(1+C31)^(-B5))/(C31)+100*(1+C31)^(-B5))</f>
        <v>99.349730239624648</v>
      </c>
      <c r="E31" s="1">
        <f>E5</f>
        <v>99.821670322722255</v>
      </c>
      <c r="F31" s="1">
        <f>H5</f>
        <v>573.77613309287074</v>
      </c>
      <c r="G31" s="1"/>
      <c r="H31" s="1">
        <f t="shared" si="0"/>
        <v>-270.78795593127307</v>
      </c>
      <c r="I31" s="1"/>
      <c r="J31" s="1"/>
    </row>
    <row r="32" spans="1:10">
      <c r="A32" s="1" t="s">
        <v>29</v>
      </c>
      <c r="B32" s="1" t="str">
        <f>A6</f>
        <v>5 ans</v>
      </c>
      <c r="C32" s="5">
        <f>D6+C17/10000</f>
        <v>3.5490000000000008E-2</v>
      </c>
      <c r="D32" s="1">
        <f>(100*C6*(1-(1+C32)^(-B6))/(C32)+100*(1+C32)^(-B6))</f>
        <v>102.03346587844598</v>
      </c>
      <c r="E32" s="1">
        <f>E6</f>
        <v>99.782160655234861</v>
      </c>
      <c r="F32" s="1">
        <f>H6</f>
        <v>-1000</v>
      </c>
      <c r="G32" s="1"/>
      <c r="H32" s="1">
        <f t="shared" si="0"/>
        <v>-2251.3052232111195</v>
      </c>
      <c r="I32" s="1"/>
      <c r="J32" s="1"/>
    </row>
    <row r="33" spans="1:10">
      <c r="A33" s="1" t="s">
        <v>29</v>
      </c>
      <c r="B33" s="1" t="str">
        <f>A7</f>
        <v>10 ans</v>
      </c>
      <c r="C33" s="5">
        <f>D7+D17/10000</f>
        <v>4.9189999999999998E-2</v>
      </c>
      <c r="D33" s="1">
        <f>(100*C7*(1-(1+C33)^(-B7))/(C33)+100*(1+C33)^(-B7))</f>
        <v>96.751828452970656</v>
      </c>
      <c r="E33" s="1">
        <f>E7</f>
        <v>98.673793240139986</v>
      </c>
      <c r="F33" s="1">
        <f>H7</f>
        <v>430.78174318427182</v>
      </c>
      <c r="G33" s="1"/>
      <c r="H33" s="1">
        <f t="shared" si="0"/>
        <v>-827.94734135559179</v>
      </c>
      <c r="I33" s="1"/>
      <c r="J33" s="1"/>
    </row>
    <row r="34" spans="1:10">
      <c r="A34" s="1" t="s">
        <v>31</v>
      </c>
      <c r="B34" s="1" t="str">
        <f>A5</f>
        <v>2 ans</v>
      </c>
      <c r="C34" s="5">
        <f>D5+B18/10000</f>
        <v>3.6920000000000001E-2</v>
      </c>
      <c r="D34" s="1">
        <f>(100*C5*(1-(1+C34)^(-B5))/(C34)+100*(1+C34)^(-B5))</f>
        <v>99.636265329827651</v>
      </c>
      <c r="E34" s="1">
        <f>E5</f>
        <v>99.821670322722255</v>
      </c>
      <c r="F34" s="1">
        <f>H5</f>
        <v>573.77613309287074</v>
      </c>
      <c r="G34" s="1"/>
      <c r="H34" s="1">
        <f t="shared" si="0"/>
        <v>-106.38095987917706</v>
      </c>
      <c r="I34" s="1"/>
      <c r="J34" s="1"/>
    </row>
    <row r="35" spans="1:10">
      <c r="A35" s="1" t="s">
        <v>31</v>
      </c>
      <c r="B35" s="1" t="str">
        <f>A6</f>
        <v>5 ans</v>
      </c>
      <c r="C35" s="5">
        <f>D6+C18/10000</f>
        <v>4.2220000000000008E-2</v>
      </c>
      <c r="D35" s="1">
        <f>(100*C6*(1-(1+C35)^(-B6))/(C35)+100*(1+C35)^(-B6))</f>
        <v>99.017828854546693</v>
      </c>
      <c r="E35" s="1">
        <f>E6</f>
        <v>99.782160655234861</v>
      </c>
      <c r="F35" s="1">
        <f>H6</f>
        <v>-1000</v>
      </c>
      <c r="G35" s="1"/>
      <c r="H35" s="1">
        <f t="shared" si="0"/>
        <v>764.33180068816853</v>
      </c>
      <c r="I35" s="1"/>
      <c r="J35" s="1"/>
    </row>
    <row r="36" spans="1:10">
      <c r="A36" s="1" t="s">
        <v>31</v>
      </c>
      <c r="B36" s="1" t="str">
        <f>A7</f>
        <v>10 ans</v>
      </c>
      <c r="C36" s="5">
        <f>D7+D18/10000</f>
        <v>4.8609999999999993E-2</v>
      </c>
      <c r="D36" s="1">
        <f>(100*C7*(1-(1+C36)^(-B7))/(C36)+100*(1+C36)^(-B7))</f>
        <v>97.193540869072621</v>
      </c>
      <c r="E36" s="1">
        <f>E7</f>
        <v>98.673793240139986</v>
      </c>
      <c r="F36" s="1">
        <f>H7</f>
        <v>430.78174318427182</v>
      </c>
      <c r="G36" s="1"/>
      <c r="H36" s="1">
        <f t="shared" si="0"/>
        <v>-637.66569676105121</v>
      </c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0" t="s">
        <v>39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0" t="s">
        <v>40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0" t="s">
        <v>41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0" t="s">
        <v>42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0" t="s">
        <v>43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0" t="s">
        <v>44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0" t="s">
        <v>45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0" t="s">
        <v>46</v>
      </c>
      <c r="B46" s="1"/>
      <c r="C46" s="1"/>
      <c r="D46" s="1"/>
      <c r="E46" s="1"/>
      <c r="F46" s="1"/>
      <c r="G46" s="1"/>
      <c r="H46" s="1"/>
      <c r="I46" s="1"/>
      <c r="J46" s="1"/>
    </row>
    <row r="48" spans="1:10">
      <c r="A48" s="4" t="s">
        <v>47</v>
      </c>
      <c r="B48" s="4"/>
      <c r="C48" s="4"/>
      <c r="D48" s="4"/>
    </row>
    <row r="49" spans="1:4">
      <c r="A49" s="3" t="s">
        <v>3</v>
      </c>
      <c r="B49" s="3" t="s">
        <v>48</v>
      </c>
      <c r="C49" s="3" t="s">
        <v>49</v>
      </c>
      <c r="D49" s="3" t="s">
        <v>50</v>
      </c>
    </row>
    <row r="50" spans="1:4">
      <c r="A50">
        <v>2</v>
      </c>
      <c r="B50" s="8">
        <v>3.496</v>
      </c>
      <c r="C50" s="8">
        <v>3.5939999999999999</v>
      </c>
      <c r="D50" s="9">
        <f>(C50-B50)*100</f>
        <v>9.7999999999999865</v>
      </c>
    </row>
    <row r="51" spans="1:4">
      <c r="A51">
        <v>5</v>
      </c>
      <c r="B51" s="8">
        <v>3.8759999999999999</v>
      </c>
      <c r="C51" s="8">
        <v>4.0490000000000004</v>
      </c>
      <c r="D51" s="9">
        <f>(C51-B51)*100</f>
        <v>17.300000000000047</v>
      </c>
    </row>
    <row r="52" spans="1:4">
      <c r="A52">
        <v>10</v>
      </c>
      <c r="B52" s="8">
        <v>4.4770000000000003</v>
      </c>
      <c r="C52" s="8">
        <v>4.6689999999999996</v>
      </c>
      <c r="D52" s="9">
        <f>(C52-B52)*100</f>
        <v>19.199999999999928</v>
      </c>
    </row>
    <row r="54" spans="1:4">
      <c r="A5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Butterfly 2 5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2026-09-24T20:38:06Z</dcterms:created>
  <dcterms:modified xsi:type="dcterms:W3CDTF">2026-09-24T20:38:06Z</dcterms:modified>
</cp:coreProperties>
</file>